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2ba01e7f2e314dc9"/><Relationship Id="rIdPmpCore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arta Gantt" sheetId="1" ns1:id="Rfd3368ebc44c4a4d"/>
  </sheets>
  <definedNames>
    <definedName name="_xlnm.Print_Area" localSheetId="0">'Carta Gantt'!$A$1:$Y$26</definedName>
  </definedNames>
</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7">
    <x:font>
      <x:sz val="11"/>
      <x:name val="Carlito"/>
    </x:font>
    <x:font>
      <x:sz val="11"/>
      <x:color rgb="FF102A43"/>
      <x:name val="Arial"/>
    </x:font>
    <x:font>
      <x:b/>
      <x:sz val="17"/>
      <x:color rgb="FF102A43"/>
      <x:name val="Arial"/>
    </x:font>
    <x:font>
      <x:sz val="11"/>
      <x:color rgb="FF63758A"/>
      <x:name val="Arial"/>
    </x:font>
    <x:font>
      <x:b/>
      <x:sz val="11"/>
      <x:color rgb="FF102A43"/>
      <x:name val="Arial"/>
    </x:font>
    <x:font>
      <x:b/>
      <x:sz val="11"/>
      <x:color rgb="FFFFFFFF"/>
      <x:name val="Arial"/>
    </x:font>
    <x:font>
      <x:b/>
      <x:sz val="11"/>
      <x:color rgb="FF008D98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8F1FF"/>
      </x:patternFill>
    </x:fill>
    <x:fill>
      <x:patternFill patternType="solid">
        <x:fgColor rgb="FFE8EFF5"/>
      </x:patternFill>
    </x:fill>
    <x:fill>
      <x:patternFill patternType="solid">
        <x:fgColor rgb="FFFFF1DC"/>
      </x:patternFill>
    </x:fill>
    <x:fill>
      <x:patternFill patternType="solid">
        <x:fgColor rgb="FF102A43"/>
      </x:patternFill>
    </x:fill>
    <x:fill>
      <x:patternFill patternType="solid">
        <x:fgColor rgb="FFF1F4F8"/>
      </x:patternFill>
    </x:fill>
    <x:fill>
      <x:patternFill patternType="solid">
        <x:fgColor rgb="FFFFF2CC"/>
      </x:patternFill>
    </x:fill>
    <x:fill>
      <x:patternFill patternType="solid">
        <x:fgColor rgb="FFEAF3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8D98"/>
      </x:bottom>
      <x:diagonal/>
    </x:border>
    <x:border>
      <x:left/>
      <x:right/>
      <x:top/>
      <x:bottom style="thin">
        <x:color rgb="FFE1E7EF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9" borderId="2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horizontal="center" vertical="center"/>
    </x:xf>
    <x:xf numFmtId="0" fontId="1" fillId="9" borderId="2" xfId="0" applyNumberFormat="1" applyFont="1" applyFill="1" applyBorder="1" applyAlignment="1">
      <x:alignment horizontal="center" vertical="center"/>
    </x:xf>
    <x:xf numFmtId="200" fontId="1" fillId="8" borderId="2" xfId="0" applyNumberFormat="1" applyFont="1" applyFill="1" applyBorder="1" applyAlignment="1">
      <x:alignment horizontal="center" vertical="center"/>
    </x:xf>
    <x:xf numFmtId="200" fontId="1" fillId="9" borderId="2" xfId="0" applyNumberFormat="1" applyFont="1" applyFill="1" applyBorder="1" applyAlignment="1">
      <x:alignment horizontal="center" vertical="center"/>
    </x:xf>
    <x:xf numFmtId="201" fontId="1" fillId="7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200" fontId="1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ill>
        <x:patternFill patternType="solid">
          <x:bgColor rgb="FF1D5CDB"/>
        </x:patternFill>
      </x:fill>
    </x:dxf>
    <x:dxf>
      <x:fill>
        <x:patternFill patternType="solid">
          <x:bgColor rgb="FF328BEB"/>
        </x:patternFill>
      </x:fill>
    </x:dxf>
    <x:dxf>
      <x:fill>
        <x:patternFill patternType="solid">
          <x:bgColor rgb="FF102A43"/>
        </x:patternFill>
      </x:fill>
    </x:dxf>
    <x:dxf>
      <x:fill>
        <x:patternFill patternType="solid">
          <x:bgColor rgb="FFF59A0A"/>
        </x:patternFill>
      </x:fill>
    </x:dxf>
    <x:dxf>
      <x:fill>
        <x:patternFill patternType="solid">
          <x:bgColor rgb="FF009C65"/>
        </x:patternFill>
      </x:fill>
    </x:dxf>
    <x:dxf>
      <x:fill>
        <x:patternFill patternType="solid">
          <x:bgColor rgb="FF69758A"/>
        </x:patternFill>
      </x:fill>
    </x:dxf>
    <x:dxf>
      <x:fill>
        <x:patternFill patternType="solid">
          <x:bgColor rgb="FFC6ECEC"/>
        </x:patternFill>
      </x:fill>
    </x:dxf>
    <x:dxf>
      <x:fill>
        <x:patternFill patternType="solid">
          <x:bgColor rgb="FFC6ECEC"/>
        </x:patternFill>
      </x:fill>
    </x:dxf>
    <x:dxf>
      <x:fill>
        <x:patternFill patternType="solid">
          <x:bgColor rgb="FFC6ECEC"/>
        </x:patternFill>
      </x:fill>
    </x:dxf>
    <x:dxf>
      <x:fill>
        <x:patternFill patternType="solid">
          <x:bgColor rgb="FFC6ECEC"/>
        </x:patternFill>
      </x:fill>
    </x:dxf>
    <x:dxf>
      <x:font>
        <x:b/>
        <x:color rgb="FFB42318"/>
      </x:font>
      <x:fill>
        <x:patternFill patternType="solid">
          <x:bgColor rgb="FFFD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4666cd7bb9435c" /><Relationship Type="http://schemas.openxmlformats.org/officeDocument/2006/relationships/theme" Target="/xl/theme/theme1.xml" Id="Re8883b48ec924424" /><Relationship Type="http://schemas.openxmlformats.org/officeDocument/2006/relationships/sharedStrings" Target="/xl/sharedStrings.xml" Id="R3eaf74e4cda0497e" /><Relationship Type="http://schemas.openxmlformats.org/officeDocument/2006/relationships/worksheet" Target="/xl/worksheets/sheet1.xml" Id="Rfd3368ebc44c4a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02A43"/>
    <pageSetUpPr fitToPage="1"/>
  </sheetPr>
  <sheetViews>
    <sheetView showGridLines="0" workbookViewId="0">
      <pane xSplit="5" ySplit="8" topLeftCell="F9" activePane="bottomRight" state="frozen"/>
    </sheetView>
  </sheetViews>
  <sheetFormatPr defaultRowHeight="15"/>
  <cols>
    <col min="1" max="1" width="3" hidden="0" customWidth="1"/>
    <col min="2" max="2" width="37" hidden="0" customWidth="1"/>
    <col min="3" max="3" width="10" hidden="0" customWidth="1"/>
    <col min="4" max="4" width="10" hidden="0" customWidth="1"/>
    <col min="5" max="5" width="10" hidden="0" customWidth="1"/>
    <col min="6" max="6" width="2" hidden="0" customWidth="1"/>
    <col min="7" max="7" width="4.800000190734863" hidden="0" customWidth="1"/>
    <col min="8" max="8" width="4.800000190734863" hidden="0" customWidth="1"/>
    <col min="9" max="9" width="4.800000190734863" hidden="0" customWidth="1"/>
    <col min="10" max="10" width="4.800000190734863" hidden="0" customWidth="1"/>
    <col min="11" max="11" width="4.800000190734863" hidden="0" customWidth="1"/>
    <col min="12" max="12" width="4.800000190734863" hidden="0" customWidth="1"/>
    <col min="13" max="13" width="4.800000190734863" hidden="0" customWidth="1"/>
    <col min="14" max="14" width="4.800000190734863" hidden="0" customWidth="1"/>
    <col min="15" max="15" width="4.800000190734863" hidden="0" customWidth="1"/>
    <col min="16" max="16" width="4.800000190734863" hidden="0" customWidth="1"/>
    <col min="17" max="17" width="4.800000190734863" hidden="0" customWidth="1"/>
    <col min="18" max="18" width="4.800000190734863" hidden="0" customWidth="1"/>
    <col min="19" max="19" width="4.800000190734863" hidden="0" customWidth="1"/>
    <col min="20" max="20" width="4.800000190734863" hidden="0" customWidth="1"/>
    <col min="21" max="21" width="4.800000190734863" hidden="0" customWidth="1"/>
    <col min="22" max="22" width="4.800000190734863" hidden="0" customWidth="1"/>
    <col min="23" max="23" width="4.800000190734863" hidden="0" customWidth="1"/>
    <col min="24" max="24" width="4.800000190734863" hidden="0" customWidth="1"/>
    <col min="25" max="25" width="3" hidden="0" customWidth="1"/>
  </cols>
  <sheetData>
    <row r="1" ht="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3" customHeight="1">
      <c r="A2" s="3"/>
      <c r="B2" s="4" t="inlineStr">
        <is>
          <t xml:space="preserve">Carta Gantt PMP Suite V2.0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5" customHeight="1">
      <c r="A3" s="3"/>
      <c r="B3" s="5" t="inlineStr">
        <is>
          <t xml:space="preserve">Planificación basal en cascada. Semanas relativas 1 a 18; sin fechas calendario ni avance ejecutado.</t>
        </is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3"/>
    </row>
    <row r="4" ht="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5" customHeight="1">
      <c r="A5" s="3"/>
      <c r="B5" s="6" t="str">
        <v>Edita las celdas amarillas. Fin y barras se actualizan automáticamente.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5" customHeight="1">
      <c r="A7" s="3"/>
      <c r="B7" s="3"/>
      <c r="C7" s="3"/>
      <c r="D7" s="3"/>
      <c r="E7" s="3"/>
      <c r="F7" s="3"/>
      <c r="G7" s="9" t="str">
        <v>Fase 1</v>
      </c>
      <c r="H7" s="9" t="str">
        <v>Fase 1</v>
      </c>
      <c r="I7" s="9" t="str">
        <v>Fase 1</v>
      </c>
      <c r="J7" s="9" t="str">
        <v>Fase 1</v>
      </c>
      <c r="K7" s="12" t="str">
        <v>Fase 2</v>
      </c>
      <c r="L7" s="12" t="str">
        <v>Fase 2</v>
      </c>
      <c r="M7" s="12" t="str">
        <v>Fase 2</v>
      </c>
      <c r="N7" s="12" t="str">
        <v>Fase 2</v>
      </c>
      <c r="O7" s="12" t="str">
        <v>Fase 2</v>
      </c>
      <c r="P7" s="12" t="str">
        <v>Fase 2</v>
      </c>
      <c r="Q7" s="12" t="str">
        <v>Fase 2</v>
      </c>
      <c r="R7" s="12" t="str">
        <v>Fase 2</v>
      </c>
      <c r="S7" s="12" t="str">
        <v>Fase 2</v>
      </c>
      <c r="T7" s="12" t="str">
        <v>Fase 2</v>
      </c>
      <c r="U7" s="12" t="str">
        <v>Fase 2</v>
      </c>
      <c r="V7" s="15" t="str">
        <v>Fase 3</v>
      </c>
      <c r="W7" s="15" t="str">
        <v>Fase 3</v>
      </c>
      <c r="X7" s="15" t="str">
        <v>Fase 3</v>
      </c>
      <c r="Y7" s="3"/>
    </row>
    <row r="8" ht="35" customHeight="1">
      <c r="A8" s="3"/>
      <c r="B8" s="19" t="str">
        <v>Actividad</v>
      </c>
      <c r="C8" s="19" t="str">
        <v>Inicio
semana</v>
      </c>
      <c r="D8" s="19" t="str">
        <v>Duración
semanas</v>
      </c>
      <c r="E8" s="19" t="str">
        <v>Fin
semana</v>
      </c>
      <c r="F8" s="3"/>
      <c r="G8" s="19" t="n">
        <v>1</v>
      </c>
      <c r="H8" s="19" t="n">
        <v>2</v>
      </c>
      <c r="I8" s="19" t="n">
        <v>3</v>
      </c>
      <c r="J8" s="19" t="n">
        <v>4</v>
      </c>
      <c r="K8" s="19" t="n">
        <v>5</v>
      </c>
      <c r="L8" s="19" t="n">
        <v>6</v>
      </c>
      <c r="M8" s="19" t="n">
        <v>7</v>
      </c>
      <c r="N8" s="19" t="n">
        <v>8</v>
      </c>
      <c r="O8" s="19" t="n">
        <v>9</v>
      </c>
      <c r="P8" s="19" t="n">
        <v>10</v>
      </c>
      <c r="Q8" s="19" t="n">
        <v>11</v>
      </c>
      <c r="R8" s="19" t="n">
        <v>12</v>
      </c>
      <c r="S8" s="19" t="n">
        <v>13</v>
      </c>
      <c r="T8" s="19" t="n">
        <v>14</v>
      </c>
      <c r="U8" s="19" t="n">
        <v>15</v>
      </c>
      <c r="V8" s="19" t="n">
        <v>16</v>
      </c>
      <c r="W8" s="19" t="n">
        <v>17</v>
      </c>
      <c r="X8" s="19" t="n">
        <v>18</v>
      </c>
      <c r="Y8" s="3"/>
    </row>
    <row r="9" ht="36" customHeight="1">
      <c r="A9" s="3"/>
      <c r="B9" s="22" t="str">
        <v>Requerimientos y planificación</v>
      </c>
      <c r="C9" s="28" t="n">
        <v>1</v>
      </c>
      <c r="D9" s="28" t="n">
        <v>4</v>
      </c>
      <c r="E9" s="29" t="n">
        <f>IF(OR(C9="",D9=""),"",C9+D9-1)</f>
        <v>4</v>
      </c>
      <c r="F9" s="3"/>
      <c r="G9" s="30" t="n">
        <f>IF(AND(ISNUMBER($C9),ISNUMBER($D9),$C9&gt;=1,$D9&gt;=1,G$8&gt;=$C9,G$8&lt;=$E9),1,0)</f>
        <v>1</v>
      </c>
      <c r="H9" s="30" t="n">
        <f>IF(AND(ISNUMBER($C9),ISNUMBER($D9),$C9&gt;=1,$D9&gt;=1,H$8&gt;=$C9,H$8&lt;=$E9),1,0)</f>
        <v>1</v>
      </c>
      <c r="I9" s="30" t="n">
        <f>IF(AND(ISNUMBER($C9),ISNUMBER($D9),$C9&gt;=1,$D9&gt;=1,I$8&gt;=$C9,I$8&lt;=$E9),1,0)</f>
        <v>1</v>
      </c>
      <c r="J9" s="30" t="n">
        <f>IF(AND(ISNUMBER($C9),ISNUMBER($D9),$C9&gt;=1,$D9&gt;=1,J$8&gt;=$C9,J$8&lt;=$E9),1,0)</f>
        <v>1</v>
      </c>
      <c r="K9" s="30" t="n">
        <f>IF(AND(ISNUMBER($C9),ISNUMBER($D9),$C9&gt;=1,$D9&gt;=1,K$8&gt;=$C9,K$8&lt;=$E9),1,0)</f>
        <v>0</v>
      </c>
      <c r="L9" s="30" t="n">
        <f>IF(AND(ISNUMBER($C9),ISNUMBER($D9),$C9&gt;=1,$D9&gt;=1,L$8&gt;=$C9,L$8&lt;=$E9),1,0)</f>
        <v>0</v>
      </c>
      <c r="M9" s="30" t="n">
        <f>IF(AND(ISNUMBER($C9),ISNUMBER($D9),$C9&gt;=1,$D9&gt;=1,M$8&gt;=$C9,M$8&lt;=$E9),1,0)</f>
        <v>0</v>
      </c>
      <c r="N9" s="30" t="n">
        <f>IF(AND(ISNUMBER($C9),ISNUMBER($D9),$C9&gt;=1,$D9&gt;=1,N$8&gt;=$C9,N$8&lt;=$E9),1,0)</f>
        <v>0</v>
      </c>
      <c r="O9" s="30" t="n">
        <f>IF(AND(ISNUMBER($C9),ISNUMBER($D9),$C9&gt;=1,$D9&gt;=1,O$8&gt;=$C9,O$8&lt;=$E9),1,0)</f>
        <v>0</v>
      </c>
      <c r="P9" s="30" t="n">
        <f>IF(AND(ISNUMBER($C9),ISNUMBER($D9),$C9&gt;=1,$D9&gt;=1,P$8&gt;=$C9,P$8&lt;=$E9),1,0)</f>
        <v>0</v>
      </c>
      <c r="Q9" s="30" t="n">
        <f>IF(AND(ISNUMBER($C9),ISNUMBER($D9),$C9&gt;=1,$D9&gt;=1,Q$8&gt;=$C9,Q$8&lt;=$E9),1,0)</f>
        <v>0</v>
      </c>
      <c r="R9" s="30" t="n">
        <f>IF(AND(ISNUMBER($C9),ISNUMBER($D9),$C9&gt;=1,$D9&gt;=1,R$8&gt;=$C9,R$8&lt;=$E9),1,0)</f>
        <v>0</v>
      </c>
      <c r="S9" s="30" t="n">
        <f>IF(AND(ISNUMBER($C9),ISNUMBER($D9),$C9&gt;=1,$D9&gt;=1,S$8&gt;=$C9,S$8&lt;=$E9),1,0)</f>
        <v>0</v>
      </c>
      <c r="T9" s="30" t="n">
        <f>IF(AND(ISNUMBER($C9),ISNUMBER($D9),$C9&gt;=1,$D9&gt;=1,T$8&gt;=$C9,T$8&lt;=$E9),1,0)</f>
        <v>0</v>
      </c>
      <c r="U9" s="30" t="n">
        <f>IF(AND(ISNUMBER($C9),ISNUMBER($D9),$C9&gt;=1,$D9&gt;=1,U$8&gt;=$C9,U$8&lt;=$E9),1,0)</f>
        <v>0</v>
      </c>
      <c r="V9" s="30" t="n">
        <f>IF(AND(ISNUMBER($C9),ISNUMBER($D9),$C9&gt;=1,$D9&gt;=1,V$8&gt;=$C9,V$8&lt;=$E9),1,0)</f>
        <v>0</v>
      </c>
      <c r="W9" s="30" t="n">
        <f>IF(AND(ISNUMBER($C9),ISNUMBER($D9),$C9&gt;=1,$D9&gt;=1,W$8&gt;=$C9,W$8&lt;=$E9),1,0)</f>
        <v>0</v>
      </c>
      <c r="X9" s="30" t="n">
        <f>IF(AND(ISNUMBER($C9),ISNUMBER($D9),$C9&gt;=1,$D9&gt;=1,X$8&gt;=$C9,X$8&lt;=$E9),1,0)</f>
        <v>0</v>
      </c>
      <c r="Y9" s="3"/>
    </row>
    <row r="10" ht="36" customHeight="1">
      <c r="A10" s="3"/>
      <c r="B10" s="22" t="str">
        <v>Arquitectura y datos</v>
      </c>
      <c r="C10" s="28" t="n">
        <v>5</v>
      </c>
      <c r="D10" s="28" t="n">
        <v>2</v>
      </c>
      <c r="E10" s="29" t="n">
        <f>IF(OR(C10="",D10=""),"",C10+D10-1)</f>
        <v>6</v>
      </c>
      <c r="F10" s="3"/>
      <c r="G10" s="30" t="n">
        <f>IF(AND(ISNUMBER($C10),ISNUMBER($D10),$C10&gt;=1,$D10&gt;=1,G$8&gt;=$C10,G$8&lt;=$E10),1,0)</f>
        <v>0</v>
      </c>
      <c r="H10" s="30" t="n">
        <f>IF(AND(ISNUMBER($C10),ISNUMBER($D10),$C10&gt;=1,$D10&gt;=1,H$8&gt;=$C10,H$8&lt;=$E10),1,0)</f>
        <v>0</v>
      </c>
      <c r="I10" s="30" t="n">
        <f>IF(AND(ISNUMBER($C10),ISNUMBER($D10),$C10&gt;=1,$D10&gt;=1,I$8&gt;=$C10,I$8&lt;=$E10),1,0)</f>
        <v>0</v>
      </c>
      <c r="J10" s="30" t="n">
        <f>IF(AND(ISNUMBER($C10),ISNUMBER($D10),$C10&gt;=1,$D10&gt;=1,J$8&gt;=$C10,J$8&lt;=$E10),1,0)</f>
        <v>0</v>
      </c>
      <c r="K10" s="30" t="n">
        <f>IF(AND(ISNUMBER($C10),ISNUMBER($D10),$C10&gt;=1,$D10&gt;=1,K$8&gt;=$C10,K$8&lt;=$E10),1,0)</f>
        <v>1</v>
      </c>
      <c r="L10" s="30" t="n">
        <f>IF(AND(ISNUMBER($C10),ISNUMBER($D10),$C10&gt;=1,$D10&gt;=1,L$8&gt;=$C10,L$8&lt;=$E10),1,0)</f>
        <v>1</v>
      </c>
      <c r="M10" s="30" t="n">
        <f>IF(AND(ISNUMBER($C10),ISNUMBER($D10),$C10&gt;=1,$D10&gt;=1,M$8&gt;=$C10,M$8&lt;=$E10),1,0)</f>
        <v>0</v>
      </c>
      <c r="N10" s="30" t="n">
        <f>IF(AND(ISNUMBER($C10),ISNUMBER($D10),$C10&gt;=1,$D10&gt;=1,N$8&gt;=$C10,N$8&lt;=$E10),1,0)</f>
        <v>0</v>
      </c>
      <c r="O10" s="30" t="n">
        <f>IF(AND(ISNUMBER($C10),ISNUMBER($D10),$C10&gt;=1,$D10&gt;=1,O$8&gt;=$C10,O$8&lt;=$E10),1,0)</f>
        <v>0</v>
      </c>
      <c r="P10" s="30" t="n">
        <f>IF(AND(ISNUMBER($C10),ISNUMBER($D10),$C10&gt;=1,$D10&gt;=1,P$8&gt;=$C10,P$8&lt;=$E10),1,0)</f>
        <v>0</v>
      </c>
      <c r="Q10" s="30" t="n">
        <f>IF(AND(ISNUMBER($C10),ISNUMBER($D10),$C10&gt;=1,$D10&gt;=1,Q$8&gt;=$C10,Q$8&lt;=$E10),1,0)</f>
        <v>0</v>
      </c>
      <c r="R10" s="30" t="n">
        <f>IF(AND(ISNUMBER($C10),ISNUMBER($D10),$C10&gt;=1,$D10&gt;=1,R$8&gt;=$C10,R$8&lt;=$E10),1,0)</f>
        <v>0</v>
      </c>
      <c r="S10" s="30" t="n">
        <f>IF(AND(ISNUMBER($C10),ISNUMBER($D10),$C10&gt;=1,$D10&gt;=1,S$8&gt;=$C10,S$8&lt;=$E10),1,0)</f>
        <v>0</v>
      </c>
      <c r="T10" s="30" t="n">
        <f>IF(AND(ISNUMBER($C10),ISNUMBER($D10),$C10&gt;=1,$D10&gt;=1,T$8&gt;=$C10,T$8&lt;=$E10),1,0)</f>
        <v>0</v>
      </c>
      <c r="U10" s="30" t="n">
        <f>IF(AND(ISNUMBER($C10),ISNUMBER($D10),$C10&gt;=1,$D10&gt;=1,U$8&gt;=$C10,U$8&lt;=$E10),1,0)</f>
        <v>0</v>
      </c>
      <c r="V10" s="30" t="n">
        <f>IF(AND(ISNUMBER($C10),ISNUMBER($D10),$C10&gt;=1,$D10&gt;=1,V$8&gt;=$C10,V$8&lt;=$E10),1,0)</f>
        <v>0</v>
      </c>
      <c r="W10" s="30" t="n">
        <f>IF(AND(ISNUMBER($C10),ISNUMBER($D10),$C10&gt;=1,$D10&gt;=1,W$8&gt;=$C10,W$8&lt;=$E10),1,0)</f>
        <v>0</v>
      </c>
      <c r="X10" s="30" t="n">
        <f>IF(AND(ISNUMBER($C10),ISNUMBER($D10),$C10&gt;=1,$D10&gt;=1,X$8&gt;=$C10,X$8&lt;=$E10),1,0)</f>
        <v>0</v>
      </c>
      <c r="Y10" s="3"/>
    </row>
    <row r="11" ht="36" customHeight="1">
      <c r="A11" s="3"/>
      <c r="B11" s="22" t="str">
        <v>Backend e integración</v>
      </c>
      <c r="C11" s="28" t="n">
        <v>7</v>
      </c>
      <c r="D11" s="28" t="n">
        <v>6</v>
      </c>
      <c r="E11" s="29" t="n">
        <f>IF(OR(C11="",D11=""),"",C11+D11-1)</f>
        <v>12</v>
      </c>
      <c r="F11" s="3"/>
      <c r="G11" s="30" t="n">
        <f>IF(AND(ISNUMBER($C11),ISNUMBER($D11),$C11&gt;=1,$D11&gt;=1,G$8&gt;=$C11,G$8&lt;=$E11),1,0)</f>
        <v>0</v>
      </c>
      <c r="H11" s="30" t="n">
        <f>IF(AND(ISNUMBER($C11),ISNUMBER($D11),$C11&gt;=1,$D11&gt;=1,H$8&gt;=$C11,H$8&lt;=$E11),1,0)</f>
        <v>0</v>
      </c>
      <c r="I11" s="30" t="n">
        <f>IF(AND(ISNUMBER($C11),ISNUMBER($D11),$C11&gt;=1,$D11&gt;=1,I$8&gt;=$C11,I$8&lt;=$E11),1,0)</f>
        <v>0</v>
      </c>
      <c r="J11" s="30" t="n">
        <f>IF(AND(ISNUMBER($C11),ISNUMBER($D11),$C11&gt;=1,$D11&gt;=1,J$8&gt;=$C11,J$8&lt;=$E11),1,0)</f>
        <v>0</v>
      </c>
      <c r="K11" s="30" t="n">
        <f>IF(AND(ISNUMBER($C11),ISNUMBER($D11),$C11&gt;=1,$D11&gt;=1,K$8&gt;=$C11,K$8&lt;=$E11),1,0)</f>
        <v>0</v>
      </c>
      <c r="L11" s="30" t="n">
        <f>IF(AND(ISNUMBER($C11),ISNUMBER($D11),$C11&gt;=1,$D11&gt;=1,L$8&gt;=$C11,L$8&lt;=$E11),1,0)</f>
        <v>0</v>
      </c>
      <c r="M11" s="30" t="n">
        <f>IF(AND(ISNUMBER($C11),ISNUMBER($D11),$C11&gt;=1,$D11&gt;=1,M$8&gt;=$C11,M$8&lt;=$E11),1,0)</f>
        <v>1</v>
      </c>
      <c r="N11" s="30" t="n">
        <f>IF(AND(ISNUMBER($C11),ISNUMBER($D11),$C11&gt;=1,$D11&gt;=1,N$8&gt;=$C11,N$8&lt;=$E11),1,0)</f>
        <v>1</v>
      </c>
      <c r="O11" s="30" t="n">
        <f>IF(AND(ISNUMBER($C11),ISNUMBER($D11),$C11&gt;=1,$D11&gt;=1,O$8&gt;=$C11,O$8&lt;=$E11),1,0)</f>
        <v>1</v>
      </c>
      <c r="P11" s="30" t="n">
        <f>IF(AND(ISNUMBER($C11),ISNUMBER($D11),$C11&gt;=1,$D11&gt;=1,P$8&gt;=$C11,P$8&lt;=$E11),1,0)</f>
        <v>1</v>
      </c>
      <c r="Q11" s="30" t="n">
        <f>IF(AND(ISNUMBER($C11),ISNUMBER($D11),$C11&gt;=1,$D11&gt;=1,Q$8&gt;=$C11,Q$8&lt;=$E11),1,0)</f>
        <v>1</v>
      </c>
      <c r="R11" s="30" t="n">
        <f>IF(AND(ISNUMBER($C11),ISNUMBER($D11),$C11&gt;=1,$D11&gt;=1,R$8&gt;=$C11,R$8&lt;=$E11),1,0)</f>
        <v>1</v>
      </c>
      <c r="S11" s="30" t="n">
        <f>IF(AND(ISNUMBER($C11),ISNUMBER($D11),$C11&gt;=1,$D11&gt;=1,S$8&gt;=$C11,S$8&lt;=$E11),1,0)</f>
        <v>0</v>
      </c>
      <c r="T11" s="30" t="n">
        <f>IF(AND(ISNUMBER($C11),ISNUMBER($D11),$C11&gt;=1,$D11&gt;=1,T$8&gt;=$C11,T$8&lt;=$E11),1,0)</f>
        <v>0</v>
      </c>
      <c r="U11" s="30" t="n">
        <f>IF(AND(ISNUMBER($C11),ISNUMBER($D11),$C11&gt;=1,$D11&gt;=1,U$8&gt;=$C11,U$8&lt;=$E11),1,0)</f>
        <v>0</v>
      </c>
      <c r="V11" s="30" t="n">
        <f>IF(AND(ISNUMBER($C11),ISNUMBER($D11),$C11&gt;=1,$D11&gt;=1,V$8&gt;=$C11,V$8&lt;=$E11),1,0)</f>
        <v>0</v>
      </c>
      <c r="W11" s="30" t="n">
        <f>IF(AND(ISNUMBER($C11),ISNUMBER($D11),$C11&gt;=1,$D11&gt;=1,W$8&gt;=$C11,W$8&lt;=$E11),1,0)</f>
        <v>0</v>
      </c>
      <c r="X11" s="30" t="n">
        <f>IF(AND(ISNUMBER($C11),ISNUMBER($D11),$C11&gt;=1,$D11&gt;=1,X$8&gt;=$C11,X$8&lt;=$E11),1,0)</f>
        <v>0</v>
      </c>
      <c r="Y11" s="3"/>
    </row>
    <row r="12" ht="36" customHeight="1">
      <c r="A12" s="3"/>
      <c r="B12" s="22" t="str">
        <v>Frontend web y móvil</v>
      </c>
      <c r="C12" s="28" t="n">
        <v>7</v>
      </c>
      <c r="D12" s="28" t="n">
        <v>6</v>
      </c>
      <c r="E12" s="29" t="n">
        <f>IF(OR(C12="",D12=""),"",C12+D12-1)</f>
        <v>12</v>
      </c>
      <c r="F12" s="3"/>
      <c r="G12" s="30" t="n">
        <f>IF(AND(ISNUMBER($C12),ISNUMBER($D12),$C12&gt;=1,$D12&gt;=1,G$8&gt;=$C12,G$8&lt;=$E12),1,0)</f>
        <v>0</v>
      </c>
      <c r="H12" s="30" t="n">
        <f>IF(AND(ISNUMBER($C12),ISNUMBER($D12),$C12&gt;=1,$D12&gt;=1,H$8&gt;=$C12,H$8&lt;=$E12),1,0)</f>
        <v>0</v>
      </c>
      <c r="I12" s="30" t="n">
        <f>IF(AND(ISNUMBER($C12),ISNUMBER($D12),$C12&gt;=1,$D12&gt;=1,I$8&gt;=$C12,I$8&lt;=$E12),1,0)</f>
        <v>0</v>
      </c>
      <c r="J12" s="30" t="n">
        <f>IF(AND(ISNUMBER($C12),ISNUMBER($D12),$C12&gt;=1,$D12&gt;=1,J$8&gt;=$C12,J$8&lt;=$E12),1,0)</f>
        <v>0</v>
      </c>
      <c r="K12" s="30" t="n">
        <f>IF(AND(ISNUMBER($C12),ISNUMBER($D12),$C12&gt;=1,$D12&gt;=1,K$8&gt;=$C12,K$8&lt;=$E12),1,0)</f>
        <v>0</v>
      </c>
      <c r="L12" s="30" t="n">
        <f>IF(AND(ISNUMBER($C12),ISNUMBER($D12),$C12&gt;=1,$D12&gt;=1,L$8&gt;=$C12,L$8&lt;=$E12),1,0)</f>
        <v>0</v>
      </c>
      <c r="M12" s="30" t="n">
        <f>IF(AND(ISNUMBER($C12),ISNUMBER($D12),$C12&gt;=1,$D12&gt;=1,M$8&gt;=$C12,M$8&lt;=$E12),1,0)</f>
        <v>1</v>
      </c>
      <c r="N12" s="30" t="n">
        <f>IF(AND(ISNUMBER($C12),ISNUMBER($D12),$C12&gt;=1,$D12&gt;=1,N$8&gt;=$C12,N$8&lt;=$E12),1,0)</f>
        <v>1</v>
      </c>
      <c r="O12" s="30" t="n">
        <f>IF(AND(ISNUMBER($C12),ISNUMBER($D12),$C12&gt;=1,$D12&gt;=1,O$8&gt;=$C12,O$8&lt;=$E12),1,0)</f>
        <v>1</v>
      </c>
      <c r="P12" s="30" t="n">
        <f>IF(AND(ISNUMBER($C12),ISNUMBER($D12),$C12&gt;=1,$D12&gt;=1,P$8&gt;=$C12,P$8&lt;=$E12),1,0)</f>
        <v>1</v>
      </c>
      <c r="Q12" s="30" t="n">
        <f>IF(AND(ISNUMBER($C12),ISNUMBER($D12),$C12&gt;=1,$D12&gt;=1,Q$8&gt;=$C12,Q$8&lt;=$E12),1,0)</f>
        <v>1</v>
      </c>
      <c r="R12" s="30" t="n">
        <f>IF(AND(ISNUMBER($C12),ISNUMBER($D12),$C12&gt;=1,$D12&gt;=1,R$8&gt;=$C12,R$8&lt;=$E12),1,0)</f>
        <v>1</v>
      </c>
      <c r="S12" s="30" t="n">
        <f>IF(AND(ISNUMBER($C12),ISNUMBER($D12),$C12&gt;=1,$D12&gt;=1,S$8&gt;=$C12,S$8&lt;=$E12),1,0)</f>
        <v>0</v>
      </c>
      <c r="T12" s="30" t="n">
        <f>IF(AND(ISNUMBER($C12),ISNUMBER($D12),$C12&gt;=1,$D12&gt;=1,T$8&gt;=$C12,T$8&lt;=$E12),1,0)</f>
        <v>0</v>
      </c>
      <c r="U12" s="30" t="n">
        <f>IF(AND(ISNUMBER($C12),ISNUMBER($D12),$C12&gt;=1,$D12&gt;=1,U$8&gt;=$C12,U$8&lt;=$E12),1,0)</f>
        <v>0</v>
      </c>
      <c r="V12" s="30" t="n">
        <f>IF(AND(ISNUMBER($C12),ISNUMBER($D12),$C12&gt;=1,$D12&gt;=1,V$8&gt;=$C12,V$8&lt;=$E12),1,0)</f>
        <v>0</v>
      </c>
      <c r="W12" s="30" t="n">
        <f>IF(AND(ISNUMBER($C12),ISNUMBER($D12),$C12&gt;=1,$D12&gt;=1,W$8&gt;=$C12,W$8&lt;=$E12),1,0)</f>
        <v>0</v>
      </c>
      <c r="X12" s="30" t="n">
        <f>IF(AND(ISNUMBER($C12),ISNUMBER($D12),$C12&gt;=1,$D12&gt;=1,X$8&gt;=$C12,X$8&lt;=$E12),1,0)</f>
        <v>0</v>
      </c>
      <c r="Y12" s="3"/>
    </row>
    <row r="13" ht="36" customHeight="1">
      <c r="A13" s="3"/>
      <c r="B13" s="22" t="str">
        <v>Pruebas y validación</v>
      </c>
      <c r="C13" s="28" t="n">
        <v>13</v>
      </c>
      <c r="D13" s="28" t="n">
        <v>3</v>
      </c>
      <c r="E13" s="29" t="n">
        <f>IF(OR(C13="",D13=""),"",C13+D13-1)</f>
        <v>15</v>
      </c>
      <c r="F13" s="3"/>
      <c r="G13" s="30" t="n">
        <f>IF(AND(ISNUMBER($C13),ISNUMBER($D13),$C13&gt;=1,$D13&gt;=1,G$8&gt;=$C13,G$8&lt;=$E13),1,0)</f>
        <v>0</v>
      </c>
      <c r="H13" s="30" t="n">
        <f>IF(AND(ISNUMBER($C13),ISNUMBER($D13),$C13&gt;=1,$D13&gt;=1,H$8&gt;=$C13,H$8&lt;=$E13),1,0)</f>
        <v>0</v>
      </c>
      <c r="I13" s="30" t="n">
        <f>IF(AND(ISNUMBER($C13),ISNUMBER($D13),$C13&gt;=1,$D13&gt;=1,I$8&gt;=$C13,I$8&lt;=$E13),1,0)</f>
        <v>0</v>
      </c>
      <c r="J13" s="30" t="n">
        <f>IF(AND(ISNUMBER($C13),ISNUMBER($D13),$C13&gt;=1,$D13&gt;=1,J$8&gt;=$C13,J$8&lt;=$E13),1,0)</f>
        <v>0</v>
      </c>
      <c r="K13" s="30" t="n">
        <f>IF(AND(ISNUMBER($C13),ISNUMBER($D13),$C13&gt;=1,$D13&gt;=1,K$8&gt;=$C13,K$8&lt;=$E13),1,0)</f>
        <v>0</v>
      </c>
      <c r="L13" s="30" t="n">
        <f>IF(AND(ISNUMBER($C13),ISNUMBER($D13),$C13&gt;=1,$D13&gt;=1,L$8&gt;=$C13,L$8&lt;=$E13),1,0)</f>
        <v>0</v>
      </c>
      <c r="M13" s="30" t="n">
        <f>IF(AND(ISNUMBER($C13),ISNUMBER($D13),$C13&gt;=1,$D13&gt;=1,M$8&gt;=$C13,M$8&lt;=$E13),1,0)</f>
        <v>0</v>
      </c>
      <c r="N13" s="30" t="n">
        <f>IF(AND(ISNUMBER($C13),ISNUMBER($D13),$C13&gt;=1,$D13&gt;=1,N$8&gt;=$C13,N$8&lt;=$E13),1,0)</f>
        <v>0</v>
      </c>
      <c r="O13" s="30" t="n">
        <f>IF(AND(ISNUMBER($C13),ISNUMBER($D13),$C13&gt;=1,$D13&gt;=1,O$8&gt;=$C13,O$8&lt;=$E13),1,0)</f>
        <v>0</v>
      </c>
      <c r="P13" s="30" t="n">
        <f>IF(AND(ISNUMBER($C13),ISNUMBER($D13),$C13&gt;=1,$D13&gt;=1,P$8&gt;=$C13,P$8&lt;=$E13),1,0)</f>
        <v>0</v>
      </c>
      <c r="Q13" s="30" t="n">
        <f>IF(AND(ISNUMBER($C13),ISNUMBER($D13),$C13&gt;=1,$D13&gt;=1,Q$8&gt;=$C13,Q$8&lt;=$E13),1,0)</f>
        <v>0</v>
      </c>
      <c r="R13" s="30" t="n">
        <f>IF(AND(ISNUMBER($C13),ISNUMBER($D13),$C13&gt;=1,$D13&gt;=1,R$8&gt;=$C13,R$8&lt;=$E13),1,0)</f>
        <v>0</v>
      </c>
      <c r="S13" s="30" t="n">
        <f>IF(AND(ISNUMBER($C13),ISNUMBER($D13),$C13&gt;=1,$D13&gt;=1,S$8&gt;=$C13,S$8&lt;=$E13),1,0)</f>
        <v>1</v>
      </c>
      <c r="T13" s="30" t="n">
        <f>IF(AND(ISNUMBER($C13),ISNUMBER($D13),$C13&gt;=1,$D13&gt;=1,T$8&gt;=$C13,T$8&lt;=$E13),1,0)</f>
        <v>1</v>
      </c>
      <c r="U13" s="30" t="n">
        <f>IF(AND(ISNUMBER($C13),ISNUMBER($D13),$C13&gt;=1,$D13&gt;=1,U$8&gt;=$C13,U$8&lt;=$E13),1,0)</f>
        <v>1</v>
      </c>
      <c r="V13" s="30" t="n">
        <f>IF(AND(ISNUMBER($C13),ISNUMBER($D13),$C13&gt;=1,$D13&gt;=1,V$8&gt;=$C13,V$8&lt;=$E13),1,0)</f>
        <v>0</v>
      </c>
      <c r="W13" s="30" t="n">
        <f>IF(AND(ISNUMBER($C13),ISNUMBER($D13),$C13&gt;=1,$D13&gt;=1,W$8&gt;=$C13,W$8&lt;=$E13),1,0)</f>
        <v>0</v>
      </c>
      <c r="X13" s="30" t="n">
        <f>IF(AND(ISNUMBER($C13),ISNUMBER($D13),$C13&gt;=1,$D13&gt;=1,X$8&gt;=$C13,X$8&lt;=$E13),1,0)</f>
        <v>0</v>
      </c>
      <c r="Y13" s="3"/>
    </row>
    <row r="14" ht="36" customHeight="1">
      <c r="A14" s="3"/>
      <c r="B14" s="22" t="str">
        <v>Entrega y comisión</v>
      </c>
      <c r="C14" s="28" t="n">
        <v>16</v>
      </c>
      <c r="D14" s="28" t="n">
        <v>3</v>
      </c>
      <c r="E14" s="29" t="n">
        <f>IF(OR(C14="",D14=""),"",C14+D14-1)</f>
        <v>18</v>
      </c>
      <c r="F14" s="3"/>
      <c r="G14" s="30" t="n">
        <f>IF(AND(ISNUMBER($C14),ISNUMBER($D14),$C14&gt;=1,$D14&gt;=1,G$8&gt;=$C14,G$8&lt;=$E14),1,0)</f>
        <v>0</v>
      </c>
      <c r="H14" s="30" t="n">
        <f>IF(AND(ISNUMBER($C14),ISNUMBER($D14),$C14&gt;=1,$D14&gt;=1,H$8&gt;=$C14,H$8&lt;=$E14),1,0)</f>
        <v>0</v>
      </c>
      <c r="I14" s="30" t="n">
        <f>IF(AND(ISNUMBER($C14),ISNUMBER($D14),$C14&gt;=1,$D14&gt;=1,I$8&gt;=$C14,I$8&lt;=$E14),1,0)</f>
        <v>0</v>
      </c>
      <c r="J14" s="30" t="n">
        <f>IF(AND(ISNUMBER($C14),ISNUMBER($D14),$C14&gt;=1,$D14&gt;=1,J$8&gt;=$C14,J$8&lt;=$E14),1,0)</f>
        <v>0</v>
      </c>
      <c r="K14" s="30" t="n">
        <f>IF(AND(ISNUMBER($C14),ISNUMBER($D14),$C14&gt;=1,$D14&gt;=1,K$8&gt;=$C14,K$8&lt;=$E14),1,0)</f>
        <v>0</v>
      </c>
      <c r="L14" s="30" t="n">
        <f>IF(AND(ISNUMBER($C14),ISNUMBER($D14),$C14&gt;=1,$D14&gt;=1,L$8&gt;=$C14,L$8&lt;=$E14),1,0)</f>
        <v>0</v>
      </c>
      <c r="M14" s="30" t="n">
        <f>IF(AND(ISNUMBER($C14),ISNUMBER($D14),$C14&gt;=1,$D14&gt;=1,M$8&gt;=$C14,M$8&lt;=$E14),1,0)</f>
        <v>0</v>
      </c>
      <c r="N14" s="30" t="n">
        <f>IF(AND(ISNUMBER($C14),ISNUMBER($D14),$C14&gt;=1,$D14&gt;=1,N$8&gt;=$C14,N$8&lt;=$E14),1,0)</f>
        <v>0</v>
      </c>
      <c r="O14" s="30" t="n">
        <f>IF(AND(ISNUMBER($C14),ISNUMBER($D14),$C14&gt;=1,$D14&gt;=1,O$8&gt;=$C14,O$8&lt;=$E14),1,0)</f>
        <v>0</v>
      </c>
      <c r="P14" s="30" t="n">
        <f>IF(AND(ISNUMBER($C14),ISNUMBER($D14),$C14&gt;=1,$D14&gt;=1,P$8&gt;=$C14,P$8&lt;=$E14),1,0)</f>
        <v>0</v>
      </c>
      <c r="Q14" s="30" t="n">
        <f>IF(AND(ISNUMBER($C14),ISNUMBER($D14),$C14&gt;=1,$D14&gt;=1,Q$8&gt;=$C14,Q$8&lt;=$E14),1,0)</f>
        <v>0</v>
      </c>
      <c r="R14" s="30" t="n">
        <f>IF(AND(ISNUMBER($C14),ISNUMBER($D14),$C14&gt;=1,$D14&gt;=1,R$8&gt;=$C14,R$8&lt;=$E14),1,0)</f>
        <v>0</v>
      </c>
      <c r="S14" s="30" t="n">
        <f>IF(AND(ISNUMBER($C14),ISNUMBER($D14),$C14&gt;=1,$D14&gt;=1,S$8&gt;=$C14,S$8&lt;=$E14),1,0)</f>
        <v>0</v>
      </c>
      <c r="T14" s="30" t="n">
        <f>IF(AND(ISNUMBER($C14),ISNUMBER($D14),$C14&gt;=1,$D14&gt;=1,T$8&gt;=$C14,T$8&lt;=$E14),1,0)</f>
        <v>0</v>
      </c>
      <c r="U14" s="30" t="n">
        <f>IF(AND(ISNUMBER($C14),ISNUMBER($D14),$C14&gt;=1,$D14&gt;=1,U$8&gt;=$C14,U$8&lt;=$E14),1,0)</f>
        <v>0</v>
      </c>
      <c r="V14" s="30" t="n">
        <f>IF(AND(ISNUMBER($C14),ISNUMBER($D14),$C14&gt;=1,$D14&gt;=1,V$8&gt;=$C14,V$8&lt;=$E14),1,0)</f>
        <v>1</v>
      </c>
      <c r="W14" s="30" t="n">
        <f>IF(AND(ISNUMBER($C14),ISNUMBER($D14),$C14&gt;=1,$D14&gt;=1,W$8&gt;=$C14,W$8&lt;=$E14),1,0)</f>
        <v>1</v>
      </c>
      <c r="X14" s="30" t="n">
        <f>IF(AND(ISNUMBER($C14),ISNUMBER($D14),$C14&gt;=1,$D14&gt;=1,X$8&gt;=$C14,X$8&lt;=$E14),1,0)</f>
        <v>1</v>
      </c>
      <c r="Y14" s="3"/>
    </row>
    <row r="15" ht="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5" customHeight="1">
      <c r="A16" s="3"/>
      <c r="B16" s="31" t="str">
        <v>Hitos de control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5" customHeight="1">
      <c r="A17" s="3"/>
      <c r="B17" s="19" t="str">
        <v>Hito</v>
      </c>
      <c r="C17" s="19" t="str">
        <v>Semana</v>
      </c>
      <c r="D17" s="19"/>
      <c r="E17" s="19"/>
      <c r="F17" s="3"/>
      <c r="G17" s="19" t="n">
        <f>G8</f>
        <v>1</v>
      </c>
      <c r="H17" s="19" t="n">
        <f>H8</f>
        <v>2</v>
      </c>
      <c r="I17" s="19" t="n">
        <f>I8</f>
        <v>3</v>
      </c>
      <c r="J17" s="19" t="n">
        <f>J8</f>
        <v>4</v>
      </c>
      <c r="K17" s="19" t="n">
        <f>K8</f>
        <v>5</v>
      </c>
      <c r="L17" s="19" t="n">
        <f>L8</f>
        <v>6</v>
      </c>
      <c r="M17" s="19" t="n">
        <f>M8</f>
        <v>7</v>
      </c>
      <c r="N17" s="19" t="n">
        <f>N8</f>
        <v>8</v>
      </c>
      <c r="O17" s="19" t="n">
        <f>O8</f>
        <v>9</v>
      </c>
      <c r="P17" s="19" t="n">
        <f>P8</f>
        <v>10</v>
      </c>
      <c r="Q17" s="19" t="n">
        <f>Q8</f>
        <v>11</v>
      </c>
      <c r="R17" s="19" t="n">
        <f>R8</f>
        <v>12</v>
      </c>
      <c r="S17" s="19" t="n">
        <f>S8</f>
        <v>13</v>
      </c>
      <c r="T17" s="19" t="n">
        <f>T8</f>
        <v>14</v>
      </c>
      <c r="U17" s="19" t="n">
        <f>U8</f>
        <v>15</v>
      </c>
      <c r="V17" s="19" t="n">
        <f>V8</f>
        <v>16</v>
      </c>
      <c r="W17" s="19" t="n">
        <f>W8</f>
        <v>17</v>
      </c>
      <c r="X17" s="19" t="n">
        <f>X8</f>
        <v>18</v>
      </c>
      <c r="Y17" s="3"/>
    </row>
    <row r="18" ht="28" customHeight="1">
      <c r="A18" s="3"/>
      <c r="B18" s="3" t="str">
        <v>Definición</v>
      </c>
      <c r="C18" s="36" t="n">
        <v>4</v>
      </c>
      <c r="D18" s="3"/>
      <c r="E18" s="3"/>
      <c r="F18" s="3"/>
      <c r="G18" s="33" t="str">
        <f>IF(G$8=$C18,"◆","")</f>
      </c>
      <c r="H18" s="33" t="str">
        <f>IF(H$8=$C18,"◆","")</f>
      </c>
      <c r="I18" s="33" t="str">
        <f>IF(I$8=$C18,"◆","")</f>
      </c>
      <c r="J18" s="33" t="str">
        <f>IF(J$8=$C18,"◆","")</f>
        <v>◆</v>
      </c>
      <c r="K18" s="33" t="str">
        <f>IF(K$8=$C18,"◆","")</f>
      </c>
      <c r="L18" s="33" t="str">
        <f>IF(L$8=$C18,"◆","")</f>
      </c>
      <c r="M18" s="33" t="str">
        <f>IF(M$8=$C18,"◆","")</f>
      </c>
      <c r="N18" s="33" t="str">
        <f>IF(N$8=$C18,"◆","")</f>
      </c>
      <c r="O18" s="33" t="str">
        <f>IF(O$8=$C18,"◆","")</f>
      </c>
      <c r="P18" s="33" t="str">
        <f>IF(P$8=$C18,"◆","")</f>
      </c>
      <c r="Q18" s="33" t="str">
        <f>IF(Q$8=$C18,"◆","")</f>
      </c>
      <c r="R18" s="33" t="str">
        <f>IF(R$8=$C18,"◆","")</f>
      </c>
      <c r="S18" s="33" t="str">
        <f>IF(S$8=$C18,"◆","")</f>
      </c>
      <c r="T18" s="33" t="str">
        <f>IF(T$8=$C18,"◆","")</f>
      </c>
      <c r="U18" s="33" t="str">
        <f>IF(U$8=$C18,"◆","")</f>
      </c>
      <c r="V18" s="33" t="str">
        <f>IF(V$8=$C18,"◆","")</f>
      </c>
      <c r="W18" s="33" t="str">
        <f>IF(W$8=$C18,"◆","")</f>
      </c>
      <c r="X18" s="33" t="str">
        <f>IF(X$8=$C18,"◆","")</f>
      </c>
      <c r="Y18" s="3"/>
    </row>
    <row r="19" ht="28" customHeight="1">
      <c r="A19" s="3"/>
      <c r="B19" s="3" t="str">
        <v>Avance</v>
      </c>
      <c r="C19" s="36" t="n">
        <v>9</v>
      </c>
      <c r="D19" s="3"/>
      <c r="E19" s="3"/>
      <c r="F19" s="3"/>
      <c r="G19" s="33" t="str">
        <f>IF(G$8=$C19,"◆","")</f>
      </c>
      <c r="H19" s="33" t="str">
        <f>IF(H$8=$C19,"◆","")</f>
      </c>
      <c r="I19" s="33" t="str">
        <f>IF(I$8=$C19,"◆","")</f>
      </c>
      <c r="J19" s="33" t="str">
        <f>IF(J$8=$C19,"◆","")</f>
      </c>
      <c r="K19" s="33" t="str">
        <f>IF(K$8=$C19,"◆","")</f>
      </c>
      <c r="L19" s="33" t="str">
        <f>IF(L$8=$C19,"◆","")</f>
      </c>
      <c r="M19" s="33" t="str">
        <f>IF(M$8=$C19,"◆","")</f>
      </c>
      <c r="N19" s="33" t="str">
        <f>IF(N$8=$C19,"◆","")</f>
      </c>
      <c r="O19" s="33" t="str">
        <f>IF(O$8=$C19,"◆","")</f>
        <v>◆</v>
      </c>
      <c r="P19" s="33" t="str">
        <f>IF(P$8=$C19,"◆","")</f>
      </c>
      <c r="Q19" s="33" t="str">
        <f>IF(Q$8=$C19,"◆","")</f>
      </c>
      <c r="R19" s="33" t="str">
        <f>IF(R$8=$C19,"◆","")</f>
      </c>
      <c r="S19" s="33" t="str">
        <f>IF(S$8=$C19,"◆","")</f>
      </c>
      <c r="T19" s="33" t="str">
        <f>IF(T$8=$C19,"◆","")</f>
      </c>
      <c r="U19" s="33" t="str">
        <f>IF(U$8=$C19,"◆","")</f>
      </c>
      <c r="V19" s="33" t="str">
        <f>IF(V$8=$C19,"◆","")</f>
      </c>
      <c r="W19" s="33" t="str">
        <f>IF(W$8=$C19,"◆","")</f>
      </c>
      <c r="X19" s="33" t="str">
        <f>IF(X$8=$C19,"◆","")</f>
      </c>
      <c r="Y19" s="3"/>
    </row>
    <row r="20" ht="28" customHeight="1">
      <c r="A20" s="3"/>
      <c r="B20" s="3" t="str">
        <v>Informe final</v>
      </c>
      <c r="C20" s="36" t="n">
        <v>15</v>
      </c>
      <c r="D20" s="3"/>
      <c r="E20" s="3"/>
      <c r="F20" s="3"/>
      <c r="G20" s="33" t="str">
        <f>IF(G$8=$C20,"◆","")</f>
      </c>
      <c r="H20" s="33" t="str">
        <f>IF(H$8=$C20,"◆","")</f>
      </c>
      <c r="I20" s="33" t="str">
        <f>IF(I$8=$C20,"◆","")</f>
      </c>
      <c r="J20" s="33" t="str">
        <f>IF(J$8=$C20,"◆","")</f>
      </c>
      <c r="K20" s="33" t="str">
        <f>IF(K$8=$C20,"◆","")</f>
      </c>
      <c r="L20" s="33" t="str">
        <f>IF(L$8=$C20,"◆","")</f>
      </c>
      <c r="M20" s="33" t="str">
        <f>IF(M$8=$C20,"◆","")</f>
      </c>
      <c r="N20" s="33" t="str">
        <f>IF(N$8=$C20,"◆","")</f>
      </c>
      <c r="O20" s="33" t="str">
        <f>IF(O$8=$C20,"◆","")</f>
      </c>
      <c r="P20" s="33" t="str">
        <f>IF(P$8=$C20,"◆","")</f>
      </c>
      <c r="Q20" s="33" t="str">
        <f>IF(Q$8=$C20,"◆","")</f>
      </c>
      <c r="R20" s="33" t="str">
        <f>IF(R$8=$C20,"◆","")</f>
      </c>
      <c r="S20" s="33" t="str">
        <f>IF(S$8=$C20,"◆","")</f>
      </c>
      <c r="T20" s="33" t="str">
        <f>IF(T$8=$C20,"◆","")</f>
      </c>
      <c r="U20" s="33" t="str">
        <f>IF(U$8=$C20,"◆","")</f>
        <v>◆</v>
      </c>
      <c r="V20" s="33" t="str">
        <f>IF(V$8=$C20,"◆","")</f>
      </c>
      <c r="W20" s="33" t="str">
        <f>IF(W$8=$C20,"◆","")</f>
      </c>
      <c r="X20" s="33" t="str">
        <f>IF(X$8=$C20,"◆","")</f>
      </c>
      <c r="Y20" s="3"/>
    </row>
    <row r="21" ht="28" customHeight="1">
      <c r="A21" s="3"/>
      <c r="B21" s="3" t="str">
        <v>Comisión</v>
      </c>
      <c r="C21" s="36" t="n">
        <v>18</v>
      </c>
      <c r="D21" s="3"/>
      <c r="E21" s="3"/>
      <c r="F21" s="3"/>
      <c r="G21" s="33" t="str">
        <f>IF(G$8=$C21,"◆","")</f>
      </c>
      <c r="H21" s="33" t="str">
        <f>IF(H$8=$C21,"◆","")</f>
      </c>
      <c r="I21" s="33" t="str">
        <f>IF(I$8=$C21,"◆","")</f>
      </c>
      <c r="J21" s="33" t="str">
        <f>IF(J$8=$C21,"◆","")</f>
      </c>
      <c r="K21" s="33" t="str">
        <f>IF(K$8=$C21,"◆","")</f>
      </c>
      <c r="L21" s="33" t="str">
        <f>IF(L$8=$C21,"◆","")</f>
      </c>
      <c r="M21" s="33" t="str">
        <f>IF(M$8=$C21,"◆","")</f>
      </c>
      <c r="N21" s="33" t="str">
        <f>IF(N$8=$C21,"◆","")</f>
      </c>
      <c r="O21" s="33" t="str">
        <f>IF(O$8=$C21,"◆","")</f>
      </c>
      <c r="P21" s="33" t="str">
        <f>IF(P$8=$C21,"◆","")</f>
      </c>
      <c r="Q21" s="33" t="str">
        <f>IF(Q$8=$C21,"◆","")</f>
      </c>
      <c r="R21" s="33" t="str">
        <f>IF(R$8=$C21,"◆","")</f>
      </c>
      <c r="S21" s="33" t="str">
        <f>IF(S$8=$C21,"◆","")</f>
      </c>
      <c r="T21" s="33" t="str">
        <f>IF(T$8=$C21,"◆","")</f>
      </c>
      <c r="U21" s="33" t="str">
        <f>IF(U$8=$C21,"◆","")</f>
      </c>
      <c r="V21" s="33" t="str">
        <f>IF(V$8=$C21,"◆","")</f>
      </c>
      <c r="W21" s="33" t="str">
        <f>IF(W$8=$C21,"◆","")</f>
      </c>
      <c r="X21" s="33" t="str">
        <f>IF(X$8=$C21,"◆","")</f>
        <v>◆</v>
      </c>
      <c r="Y21" s="3"/>
    </row>
    <row r="22" ht="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5" customHeight="1">
      <c r="A23" s="3"/>
      <c r="B23" s="6" t="str">
        <v>La planificación no acredita ejecución. Documentación transversal S1–18; consolidación y entrega S16–18.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3"/>
    </row>
    <row r="24" ht="25" customHeight="1">
      <c r="A24" s="3"/>
      <c r="B24" s="6" t="str">
        <v>Ventana visible: 18 semanas. Si Fin supera 18, se resalta en rojo. Las barras se muestran solo hasta S18.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3"/>
    </row>
    <row r="25" ht="25" customHeight="1">
      <c r="A25" s="3"/>
      <c r="B25" s="6" t="inlineStr">
        <is>
          <t xml:space="preserve">Referencia: Acta de Constitución V2.0, sección 2. Los hitos son puntos de control; no acreditan aprobaciones.</t>
        </is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3"/>
    </row>
    <row r="26" ht="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</sheetData>
  <mergeCells>
    <mergeCell ref="G7:J7"/>
    <mergeCell ref="K7:U7"/>
    <mergeCell ref="V7:X7"/>
  </mergeCells>
  <conditionalFormatting sqref="G9:X9">
    <cfRule type="cellIs" dxfId="0" priority="1" operator="equal">
      <formula>1</formula>
    </cfRule>
  </conditionalFormatting>
  <conditionalFormatting sqref="G10:X10">
    <cfRule type="cellIs" dxfId="1" priority="2" operator="equal">
      <formula>1</formula>
    </cfRule>
  </conditionalFormatting>
  <conditionalFormatting sqref="G11:X11">
    <cfRule type="cellIs" dxfId="2" priority="3" operator="equal">
      <formula>1</formula>
    </cfRule>
  </conditionalFormatting>
  <conditionalFormatting sqref="G12:X12">
    <cfRule type="cellIs" dxfId="3" priority="4" operator="equal">
      <formula>1</formula>
    </cfRule>
  </conditionalFormatting>
  <conditionalFormatting sqref="G13:X13">
    <cfRule type="cellIs" dxfId="4" priority="5" operator="equal">
      <formula>1</formula>
    </cfRule>
  </conditionalFormatting>
  <conditionalFormatting sqref="G14:X14">
    <cfRule type="cellIs" dxfId="5" priority="6" operator="equal">
      <formula>1</formula>
    </cfRule>
  </conditionalFormatting>
  <conditionalFormatting sqref="G18:X18">
    <cfRule type="expression" dxfId="6" priority="7">
      <formula>G$8=$C18</formula>
    </cfRule>
  </conditionalFormatting>
  <conditionalFormatting sqref="G19:X19">
    <cfRule type="expression" dxfId="7" priority="8">
      <formula>G$8=$C19</formula>
    </cfRule>
  </conditionalFormatting>
  <conditionalFormatting sqref="G20:X20">
    <cfRule type="expression" dxfId="8" priority="9">
      <formula>G$8=$C20</formula>
    </cfRule>
  </conditionalFormatting>
  <conditionalFormatting sqref="G21:X21">
    <cfRule type="expression" dxfId="9" priority="10">
      <formula>G$8=$C21</formula>
    </cfRule>
  </conditionalFormatting>
  <conditionalFormatting sqref="E9:E14">
    <cfRule type="cellIs" dxfId="10" priority="11" operator="greaterThan">
      <formula>18</formula>
    </cfRule>
  </conditionalFormatting>
  <dataValidations count="2">
    <dataValidation type="whole" operator="between" sqref="C9:D14">
      <formula1>1</formula1>
      <formula2>18</formula2>
    </dataValidation>
    <dataValidation type="whole" operator="between" sqref="C18:C21">
      <formula1>1</formula1>
      <formula2>18</formula2>
    </dataValidation>
  </dataValidations>
  <pageMargins left="0.25" right="0.25" top="0.35" bottom="0.35" header="0.15" footer="0.15"/>
  <pageSetup orientation="landscape" paperSize="8" fitToWidth="1" fitToHeight="1"/>
</worksheet>
</file>

<file path=docProps/core.xml><?xml version="1.0" encoding="utf-8"?>
<cp:coreProperties xmlns:dc="http://purl.org/dc/elements/1.1/" xmlns:cp="http://schemas.openxmlformats.org/package/2006/metadata/core-properties" xmlns:dcterms="http://purl.org/dc/terms/">
  <dc:title>Carta Gantt PMP Suite V2.0</dc:title>
  <cp:version>2.0</cp:version>
  <cp:lastModifiedBy>Equipo PMP Suite</cp:lastModifiedBy>
  <dcterms:modified xmlns:xsi="http://www.w3.org/2001/XMLSchema-instance" xsi:type="dcterms:W3CDTF">2026-10-19T14:55:51Z</dcterms:modified>
</cp:coreProperties>
</file>